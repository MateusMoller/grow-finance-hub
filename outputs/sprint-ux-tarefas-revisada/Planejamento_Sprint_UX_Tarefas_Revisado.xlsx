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91852e884e42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6a7c7e17ba04df6"/>
    <x:sheet xmlns:r="http://schemas.openxmlformats.org/officeDocument/2006/relationships" name="Dia 01" sheetId="2" r:id="R5c93b4b50eeb40f8"/>
    <x:sheet xmlns:r="http://schemas.openxmlformats.org/officeDocument/2006/relationships" name="Dia 02" sheetId="3" r:id="R2911481230544bec"/>
    <x:sheet xmlns:r="http://schemas.openxmlformats.org/officeDocument/2006/relationships" name="Dia 03" sheetId="4" r:id="R882243cd9b9e4bfc"/>
    <x:sheet xmlns:r="http://schemas.openxmlformats.org/officeDocument/2006/relationships" name="Dia 04" sheetId="5" r:id="Rd88d3a89f622431a"/>
    <x:sheet xmlns:r="http://schemas.openxmlformats.org/officeDocument/2006/relationships" name="Dia 05" sheetId="6" r:id="R997992d0b33b4ab0"/>
    <x:sheet xmlns:r="http://schemas.openxmlformats.org/officeDocument/2006/relationships" name="Dia 06" sheetId="7" r:id="Ra3189a2a7b334302"/>
    <x:sheet xmlns:r="http://schemas.openxmlformats.org/officeDocument/2006/relationships" name="Dia 07" sheetId="8" r:id="R0fcb5d73fa1c45a9"/>
    <x:sheet xmlns:r="http://schemas.openxmlformats.org/officeDocument/2006/relationships" name="Dia 08" sheetId="9" r:id="Ra3d025675cfb4d1c"/>
    <x:sheet xmlns:r="http://schemas.openxmlformats.org/officeDocument/2006/relationships" name="Dia 09" sheetId="10" r:id="R7078476604bb4a00"/>
    <x:sheet xmlns:r="http://schemas.openxmlformats.org/officeDocument/2006/relationships" name="Dia 10" sheetId="11" r:id="R5837de054721460a"/>
    <x:sheet xmlns:r="http://schemas.openxmlformats.org/officeDocument/2006/relationships" name="Dia 11" sheetId="12" r:id="R8e63054b119544c0"/>
    <x:sheet xmlns:r="http://schemas.openxmlformats.org/officeDocument/2006/relationships" name="Dia 12" sheetId="13" r:id="R51a872dea1274b7d"/>
    <x:sheet xmlns:r="http://schemas.openxmlformats.org/officeDocument/2006/relationships" name="Dia 13" sheetId="14" r:id="Rc724a85287144dd7"/>
    <x:sheet xmlns:r="http://schemas.openxmlformats.org/officeDocument/2006/relationships" name="Dia 14" sheetId="15" r:id="Rf1b2015dc1854d82"/>
    <x:sheet xmlns:r="http://schemas.openxmlformats.org/officeDocument/2006/relationships" name="Dia 15" sheetId="16" r:id="R7e0d4a341db84a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sz val="10"/>
      <x:color rgb="FF475569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sz val="11"/>
      <x:color rgb="FF475569"/>
      <x:name val="Carlito"/>
    </x:font>
    <x:font>
      <x:sz val="11"/>
      <x:color rgb="FF92400E"/>
      <x:name val="Carlito"/>
    </x:font>
    <x:font>
      <x:b/>
      <x:sz val="11"/>
      <x:color rgb="FF166534"/>
      <x:name val="Carlito"/>
    </x:font>
    <x:font>
      <x:b/>
      <x:sz val="11"/>
      <x:color rgb="FF92400E"/>
      <x:name val="Carlito"/>
    </x:font>
    <x:font>
      <x:b/>
      <x:sz val="11"/>
      <x:color rgb="FF991B1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52A3F"/>
      </x:patternFill>
    </x:fill>
    <x:fill>
      <x:patternFill patternType="solid">
        <x:fgColor rgb="FFEEF2FA"/>
      </x:patternFill>
    </x:fill>
    <x:fill>
      <x:patternFill patternType="solid">
        <x:fgColor rgb="FF555D78"/>
      </x:patternFill>
    </x:fill>
    <x:fill>
      <x:patternFill patternType="solid">
        <x:fgColor rgb="FFF8FAFC"/>
      </x:patternFill>
    </x:fill>
    <x:fill>
      <x:patternFill patternType="solid">
        <x:fgColor rgb="FFFFF7D6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4">
    <x:border/>
    <x:border>
      <x:bottom style="thin">
        <x:color rgb="FFD9DEEA"/>
      </x:bottom>
    </x:border>
    <x:border>
      <x:top style="thin">
        <x:color rgb="FFD9DEEA"/>
      </x:top>
      <x:bottom style="thin">
        <x:color rgb="FFD9DEEA"/>
      </x:bottom>
    </x:border>
    <x:border>
      <x:top style="thin">
        <x:color rgb="FFD9DEEA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04d804cc44afc" /><Relationship Type="http://schemas.openxmlformats.org/officeDocument/2006/relationships/theme" Target="/xl/theme/theme1.xml" Id="R2e898eff5fb94245" /><Relationship Type="http://schemas.openxmlformats.org/officeDocument/2006/relationships/sharedStrings" Target="/xl/sharedStrings.xml" Id="R81b8e56232bc4590" /><Relationship Type="http://schemas.openxmlformats.org/officeDocument/2006/relationships/worksheet" Target="/xl/worksheets/sheet1.xml" Id="R76a7c7e17ba04df6" /><Relationship Type="http://schemas.openxmlformats.org/officeDocument/2006/relationships/worksheet" Target="/xl/worksheets/sheet2.xml" Id="R5c93b4b50eeb40f8" /><Relationship Type="http://schemas.openxmlformats.org/officeDocument/2006/relationships/worksheet" Target="/xl/worksheets/sheet3.xml" Id="R2911481230544bec" /><Relationship Type="http://schemas.openxmlformats.org/officeDocument/2006/relationships/worksheet" Target="/xl/worksheets/sheet4.xml" Id="R882243cd9b9e4bfc" /><Relationship Type="http://schemas.openxmlformats.org/officeDocument/2006/relationships/worksheet" Target="/xl/worksheets/sheet5.xml" Id="Rd88d3a89f622431a" /><Relationship Type="http://schemas.openxmlformats.org/officeDocument/2006/relationships/worksheet" Target="/xl/worksheets/sheet6.xml" Id="R997992d0b33b4ab0" /><Relationship Type="http://schemas.openxmlformats.org/officeDocument/2006/relationships/worksheet" Target="/xl/worksheets/sheet7.xml" Id="Ra3189a2a7b334302" /><Relationship Type="http://schemas.openxmlformats.org/officeDocument/2006/relationships/worksheet" Target="/xl/worksheets/sheet8.xml" Id="R0fcb5d73fa1c45a9" /><Relationship Type="http://schemas.openxmlformats.org/officeDocument/2006/relationships/worksheet" Target="/xl/worksheets/sheet9.xml" Id="Ra3d025675cfb4d1c" /><Relationship Type="http://schemas.openxmlformats.org/officeDocument/2006/relationships/worksheet" Target="/xl/worksheets/sheet10.xml" Id="R7078476604bb4a00" /><Relationship Type="http://schemas.openxmlformats.org/officeDocument/2006/relationships/worksheet" Target="/xl/worksheets/sheet11.xml" Id="R5837de054721460a" /><Relationship Type="http://schemas.openxmlformats.org/officeDocument/2006/relationships/worksheet" Target="/xl/worksheets/sheet12.xml" Id="R8e63054b119544c0" /><Relationship Type="http://schemas.openxmlformats.org/officeDocument/2006/relationships/worksheet" Target="/xl/worksheets/sheet13.xml" Id="R51a872dea1274b7d" /><Relationship Type="http://schemas.openxmlformats.org/officeDocument/2006/relationships/worksheet" Target="/xl/worksheets/sheet14.xml" Id="Rc724a85287144dd7" /><Relationship Type="http://schemas.openxmlformats.org/officeDocument/2006/relationships/worksheet" Target="/xl/worksheets/sheet15.xml" Id="Rf1b2015dc1854d82" /><Relationship Type="http://schemas.openxmlformats.org/officeDocument/2006/relationships/worksheet" Target="/xl/worksheets/sheet16.xml" Id="R7e0d4a341db84a2a" /><Relationship Type="http://schemas.microsoft.com/office/2017/10/relationships/person" Target="/xl/persons/person.xml" Id="Rb77ea0bc951e4a42" /></Relationships>
</file>

<file path=xl/persons/person.xml><?xml version="1.0" encoding="utf-8"?>
<xltc:personList xmlns:xltc="http://schemas.microsoft.com/office/spreadsheetml/2018/threadedcomments">
  <xltc:person displayName="Mateus" id="{60CB65B0-0D66-46A9-BD45-71822FD4FCDC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9" hidden="0" customWidth="1"/>
    <x:col min="3" max="3" width="14" hidden="0" customWidth="1"/>
    <x:col min="4" max="4" width="11" hidden="0" customWidth="1"/>
    <x:col min="5" max="5" width="12" hidden="0" customWidth="1"/>
    <x:col min="6" max="6" width="42" hidden="0" customWidth="1"/>
    <x:col min="7" max="7" width="44" hidden="0" customWidth="1"/>
  </x:cols>
  <x:sheetData>
    <x:row r="1" ht="34" customHeight="1">
      <x:c r="A1" s="3" t="str">
        <x:v>Sprint UX de Tarefas — Planejamento revisado</x:v>
      </x:c>
      <x:c r="B1" s="3"/>
      <x:c r="C1" s="3"/>
      <x:c r="D1" s="3"/>
      <x:c r="E1" s="3"/>
      <x:c r="F1" s="3"/>
      <x:c r="G1" s="3"/>
    </x:row>
    <x:row r="2" ht="26" customHeight="1">
      <x:c r="A2" s="6" t="str">
        <x:v>Revisão baseada no planejamento original e nas funcionalidades efetivamente presentes no projeto em 13/08/2026.</x:v>
      </x:c>
      <x:c r="B2" s="6"/>
      <x:c r="C2" s="6"/>
      <x:c r="D2" s="6"/>
      <x:c r="E2" s="6"/>
      <x:c r="F2" s="6"/>
      <x:c r="G2" s="6"/>
    </x:row>
    <x:row r="4" ht="24" customHeight="1">
      <x:c r="A4" s="8" t="str">
        <x:v>Dia</x:v>
      </x:c>
      <x:c r="B4" s="8" t="str">
        <x:v>Foco revisado</x:v>
      </x:c>
      <x:c r="C4" s="8" t="str">
        <x:v>Status atual</x:v>
      </x:c>
      <x:c r="D4" s="8" t="str">
        <x:v>Avanço</x:v>
      </x:c>
      <x:c r="E4" s="8" t="str">
        <x:v>Prioridade</x:v>
      </x:c>
      <x:c r="F4" s="8" t="str">
        <x:v>Evidência principal</x:v>
      </x:c>
      <x:c r="G4" s="8" t="str">
        <x:v>Próxima ação</x:v>
      </x:c>
    </x:row>
    <x:row r="5" ht="44" customHeight="1">
      <x:c r="A5" s="15" t="n">
        <x:v>1</x:v>
      </x:c>
      <x:c r="B5" s="15" t="str">
        <x:v>Diagnóstico e inventário real</x:v>
      </x:c>
      <x:c r="C5" s="15" t="str">
        <x:f>'Dia 01'!B5</x:f>
        <x:v>Concluído</x:v>
      </x:c>
      <x:c r="D5" s="18" t="n">
        <x:f>(COUNTIF('Dia 01'!G9:G14,"Concluído")+COUNTIF('Dia 01'!G9:G14,"Parcial")*0.5)/6</x:f>
        <x:v>1</x:v>
      </x:c>
      <x:c r="E5" s="15" t="str">
        <x:v>Alta</x:v>
      </x:c>
      <x:c r="F5" s="15" t="str">
        <x:v>Diagnóstico aplicado diretamente em KanbanPage, TarefasPage e componentes de detalhe.</x:v>
      </x:c>
      <x:c r="G5" s="15" t="str">
        <x:v>Formalizar validação com usuários da operação e registrar métricas de tempo/cliques.</x:v>
      </x:c>
    </x:row>
    <x:row r="6" ht="44" customHeight="1">
      <x:c r="A6" s="16" t="n">
        <x:v>2</x:v>
      </x:c>
      <x:c r="B6" s="16" t="str">
        <x:v>Fluxo unificado de tarefas</x:v>
      </x:c>
      <x:c r="C6" s="16" t="str">
        <x:f>'Dia 02'!B5</x:f>
        <x:v>Concluído</x:v>
      </x:c>
      <x:c r="D6" s="19" t="n">
        <x:f>(COUNTIF('Dia 02'!G9:G14,"Concluído")+COUNTIF('Dia 02'!G9:G14,"Parcial")*0.5)/6</x:f>
        <x:v>1</x:v>
      </x:c>
      <x:c r="E6" s="16" t="str">
        <x:v>Alta</x:v>
      </x:c>
      <x:c r="F6" s="16" t="str">
        <x:v>TaskDetailSheet, KanbanTaskDetailSheet e especificações de revisão de permissões.</x:v>
      </x:c>
      <x:c r="G6" s="16" t="str">
        <x:v>Validar o fluxo final com produto e representantes dos setores.</x:v>
      </x:c>
    </x:row>
    <x:row r="7" ht="44" customHeight="1">
      <x:c r="A7" s="16" t="n">
        <x:v>3</x:v>
      </x:c>
      <x:c r="B7" s="16" t="str">
        <x:v>Hierarquia visual e consistência</x:v>
      </x:c>
      <x:c r="C7" s="16" t="str">
        <x:f>'Dia 03'!B5</x:f>
        <x:v>Concluído</x:v>
      </x:c>
      <x:c r="D7" s="19" t="n">
        <x:f>(COUNTIF('Dia 03'!G9:G14,"Concluído")+COUNTIF('Dia 03'!G9:G14,"Parcial")*0.5)/6</x:f>
        <x:v>1</x:v>
      </x:c>
      <x:c r="E7" s="16" t="str">
        <x:v>Alta</x:v>
      </x:c>
      <x:c r="F7" s="16" t="str">
        <x:v>AppLayout, index.css, KanbanPage e remoção central do ModuleContextPill.</x:v>
      </x:c>
      <x:c r="G7" s="16" t="str">
        <x:v>Executar revisão visual em resoluções menores e tema escuro.</x:v>
      </x:c>
    </x:row>
    <x:row r="8" ht="44" customHeight="1">
      <x:c r="A8" s="16" t="n">
        <x:v>4</x:v>
      </x:c>
      <x:c r="B8" s="16" t="str">
        <x:v>Busca consistente</x:v>
      </x:c>
      <x:c r="C8" s="16" t="str">
        <x:f>'Dia 04'!B5</x:f>
        <x:v>Parcial</x:v>
      </x:c>
      <x:c r="D8" s="19" t="n">
        <x:f>(COUNTIF('Dia 04'!G9:G14,"Concluído")+COUNTIF('Dia 04'!G9:G14,"Parcial")*0.5)/6</x:f>
        <x:v>0.75</x:v>
      </x:c>
      <x:c r="E8" s="16" t="str">
        <x:v>Alta</x:v>
      </x:c>
      <x:c r="F8" s="16" t="str">
        <x:v>Busca integrada em KanbanPage e TarefasPage; filtragem ainda é majoritariamente derivada no cliente.</x:v>
      </x:c>
      <x:c r="G8" s="16" t="str">
        <x:v>Criar endpoint/RPC paginado com search e validar debounce, loading e consistência.</x:v>
      </x:c>
    </x:row>
    <x:row r="9" ht="44" customHeight="1">
      <x:c r="A9" s="16" t="n">
        <x:v>5</x:v>
      </x:c>
      <x:c r="B9" s="16" t="str">
        <x:v>Filtros operacionais</x:v>
      </x:c>
      <x:c r="C9" s="16" t="str">
        <x:f>'Dia 05'!B5</x:f>
        <x:v>Parcial</x:v>
      </x:c>
      <x:c r="D9" s="19" t="n">
        <x:f>(COUNTIF('Dia 05'!G9:G14,"Concluído")+COUNTIF('Dia 05'!G9:G14,"Parcial")*0.5)/6</x:f>
        <x:v>0.8333333333333334</x:v>
      </x:c>
      <x:c r="E9" s="16" t="str">
        <x:v>Alta</x:v>
      </x:c>
      <x:c r="F9" s="16" t="str">
        <x:v>Filtros disponíveis no Kanban; a consulta ainda carrega conjunto amplo antes do recorte local.</x:v>
      </x:c>
      <x:c r="G9" s="16" t="str">
        <x:v>Centralizar filtros em query/RPC e garantir contadores provenientes do banco.</x:v>
      </x:c>
    </x:row>
    <x:row r="10" ht="44" customHeight="1">
      <x:c r="A10" s="16" t="n">
        <x:v>6</x:v>
      </x:c>
      <x:c r="B10" s="16" t="str">
        <x:v>Visões rápidas</x:v>
      </x:c>
      <x:c r="C10" s="16" t="str">
        <x:f>'Dia 06'!B5</x:f>
        <x:v>Parcial</x:v>
      </x:c>
      <x:c r="D10" s="19" t="n">
        <x:f>(COUNTIF('Dia 06'!G9:G14,"Concluído")+COUNTIF('Dia 06'!G9:G14,"Parcial")*0.5)/6</x:f>
        <x:v>0.5833333333333334</x:v>
      </x:c>
      <x:c r="E10" s="16" t="str">
        <x:v>Média</x:v>
      </x:c>
      <x:c r="F10" s="16" t="str">
        <x:v>Dashboard reformulado e filtro de responsável no Kanban.</x:v>
      </x:c>
      <x:c r="G10" s="16" t="str">
        <x:v>Adicionar presets persistentes na tela de tarefas e testes de contagem.</x:v>
      </x:c>
    </x:row>
    <x:row r="11" ht="44" customHeight="1">
      <x:c r="A11" s="16" t="n">
        <x:v>7</x:v>
      </x:c>
      <x:c r="B11" s="16" t="str">
        <x:v>Cards e agrupamento</x:v>
      </x:c>
      <x:c r="C11" s="16" t="str">
        <x:f>'Dia 07'!B5</x:f>
        <x:v>Concluído</x:v>
      </x:c>
      <x:c r="D11" s="19" t="n">
        <x:f>(COUNTIF('Dia 07'!G9:G14,"Concluído")+COUNTIF('Dia 07'!G9:G14,"Parcial")*0.5)/6</x:f>
        <x:v>1</x:v>
      </x:c>
      <x:c r="E11" s="16" t="str">
        <x:v>Alta</x:v>
      </x:c>
      <x:c r="F11" s="16" t="str">
        <x:v>KanbanTaskCard e grupos empilhados implementados no KanbanPage.</x:v>
      </x:c>
      <x:c r="G11" s="16" t="str">
        <x:v>Testar com títulos extremos, alto contraste e zoom de navegador.</x:v>
      </x:c>
    </x:row>
    <x:row r="12" ht="44" customHeight="1">
      <x:c r="A12" s="16" t="n">
        <x:v>8</x:v>
      </x:c>
      <x:c r="B12" s="16" t="str">
        <x:v>Colunas e alto volume</x:v>
      </x:c>
      <x:c r="C12" s="16" t="str">
        <x:f>'Dia 08'!B5</x:f>
        <x:v>Parcial</x:v>
      </x:c>
      <x:c r="D12" s="19" t="n">
        <x:f>(COUNTIF('Dia 08'!G9:G14,"Concluído")+COUNTIF('Dia 08'!G9:G14,"Parcial")*0.5)/6</x:f>
        <x:v>0.8333333333333334</x:v>
      </x:c>
      <x:c r="E12" s="16" t="str">
        <x:v>Alta</x:v>
      </x:c>
      <x:c r="F12" s="16" t="str">
        <x:v>Layout das colunas e agrupamento concluídos; não há virtualização/paginação completa por coluna.</x:v>
      </x:c>
      <x:c r="G12" s="16" t="str">
        <x:v>Implementar carregamento progressivo e medir FPS/tempo com volume real.</x:v>
      </x:c>
    </x:row>
    <x:row r="13" ht="44" customHeight="1">
      <x:c r="A13" s="16" t="n">
        <x:v>9</x:v>
      </x:c>
      <x:c r="B13" s="16" t="str">
        <x:v>Detalhe em painel lateral</x:v>
      </x:c>
      <x:c r="C13" s="16" t="str">
        <x:f>'Dia 09'!B5</x:f>
        <x:v>Concluído</x:v>
      </x:c>
      <x:c r="D13" s="19" t="n">
        <x:f>(COUNTIF('Dia 09'!G9:G14,"Concluído")+COUNTIF('Dia 09'!G9:G14,"Parcial")*0.5)/6</x:f>
        <x:v>1</x:v>
      </x:c>
      <x:c r="E13" s="16" t="str">
        <x:v>Alta</x:v>
      </x:c>
      <x:c r="F13" s="16" t="str">
        <x:v>KanbanTaskDetailSheet e TaskDetailSheet usados nas duas visões.</x:v>
      </x:c>
      <x:c r="G13" s="16" t="str">
        <x:v>Adicionar teste E2E de abertura por calendário, lista e Kanban.</x:v>
      </x:c>
    </x:row>
    <x:row r="14" ht="44" customHeight="1">
      <x:c r="A14" s="16" t="n">
        <x:v>10</x:v>
      </x:c>
      <x:c r="B14" s="16" t="str">
        <x:v>Edição e ações rápidas</x:v>
      </x:c>
      <x:c r="C14" s="16" t="str">
        <x:f>'Dia 10'!B5</x:f>
        <x:v>Concluído</x:v>
      </x:c>
      <x:c r="D14" s="19" t="n">
        <x:f>(COUNTIF('Dia 10'!G9:G14,"Concluído")+COUNTIF('Dia 10'!G9:G14,"Parcial")*0.5)/6</x:f>
        <x:v>1</x:v>
      </x:c>
      <x:c r="E14" s="16" t="str">
        <x:v>Alta</x:v>
      </x:c>
      <x:c r="F14" s="16" t="str">
        <x:v>Seletores de responsável e edição presentes nos componentes de detalhe e Kanban.</x:v>
      </x:c>
      <x:c r="G14" s="16" t="str">
        <x:v>Validar concorrência após implantação completa da migração canônica.</x:v>
      </x:c>
    </x:row>
    <x:row r="15" ht="44" customHeight="1">
      <x:c r="A15" s="16" t="n">
        <x:v>11</x:v>
      </x:c>
      <x:c r="B15" s="16" t="str">
        <x:v>Movimentação e concorrência</x:v>
      </x:c>
      <x:c r="C15" s="16" t="str">
        <x:f>'Dia 11'!B5</x:f>
        <x:v>Parcial</x:v>
      </x:c>
      <x:c r="D15" s="19" t="n">
        <x:f>(COUNTIF('Dia 11'!G9:G14,"Concluído")+COUNTIF('Dia 11'!G9:G14,"Parcial")*0.5)/6</x:f>
        <x:v>0.6666666666666666</x:v>
      </x:c>
      <x:c r="E15" s="16" t="str">
        <x:v>Crítica</x:v>
      </x:c>
      <x:c r="F15" s="16" t="str">
        <x:v>Migração harden_task_permissions criada; banco conectado ainda diverge em version/deleted_at.</x:v>
      </x:c>
      <x:c r="G15" s="16" t="str">
        <x:v>Implantar migração em ambiente controlado e executar testes de conflito/rollback.</x:v>
      </x:c>
    </x:row>
    <x:row r="16" ht="44" customHeight="1">
      <x:c r="A16" s="16" t="n">
        <x:v>12</x:v>
      </x:c>
      <x:c r="B16" s="16" t="str">
        <x:v>Lista operacional</x:v>
      </x:c>
      <x:c r="C16" s="16" t="str">
        <x:f>'Dia 12'!B5</x:f>
        <x:v>Parcial</x:v>
      </x:c>
      <x:c r="D16" s="19" t="n">
        <x:f>(COUNTIF('Dia 12'!G9:G14,"Concluído")+COUNTIF('Dia 12'!G9:G14,"Parcial")*0.5)/6</x:f>
        <x:v>0.6666666666666666</x:v>
      </x:c>
      <x:c r="E16" s="16" t="str">
        <x:v>Alta</x:v>
      </x:c>
      <x:c r="F16" s="16" t="str">
        <x:v>TarefasPage e TaskDetailSheet funcionais; ordenação/paginação server-side ainda pendentes.</x:v>
      </x:c>
      <x:c r="G16" s="16" t="str">
        <x:v>Criar consulta paginada compartilhada com o Kanban.</x:v>
      </x:c>
    </x:row>
    <x:row r="17" ht="44" customHeight="1">
      <x:c r="A17" s="16" t="n">
        <x:v>13</x:v>
      </x:c>
      <x:c r="B17" s="16" t="str">
        <x:v>Performance e arquitetura de dados</x:v>
      </x:c>
      <x:c r="C17" s="16" t="str">
        <x:f>'Dia 13'!B5</x:f>
        <x:v>Parcial</x:v>
      </x:c>
      <x:c r="D17" s="19" t="n">
        <x:f>(COUNTIF('Dia 13'!G9:G14,"Concluído")+COUNTIF('Dia 13'!G9:G14,"Parcial")*0.5)/6</x:f>
        <x:v>0.4166666666666667</x:v>
      </x:c>
      <x:c r="E17" s="16" t="str">
        <x:v>Crítica</x:v>
      </x:c>
      <x:c r="F17" s="16" t="str">
        <x:v>Dashboard simplificado e consultas paralelas em módulos revisados; páginas de tarefas ainda mantêm estado/fetch próprios.</x:v>
      </x:c>
      <x:c r="G17" s="16" t="str">
        <x:v>Criar hook canônico com TanStack Query, paginação e telemetria de tempo/volume.</x:v>
      </x:c>
    </x:row>
    <x:row r="18" ht="44" customHeight="1">
      <x:c r="A18" s="16" t="n">
        <x:v>14</x:v>
      </x:c>
      <x:c r="B18" s="16" t="str">
        <x:v>Acessibilidade e responsividade</x:v>
      </x:c>
      <x:c r="C18" s="16" t="str">
        <x:f>'Dia 14'!B5</x:f>
        <x:v>Parcial</x:v>
      </x:c>
      <x:c r="D18" s="19" t="n">
        <x:f>(COUNTIF('Dia 14'!G9:G14,"Concluído")+COUNTIF('Dia 14'!G9:G14,"Parcial")*0.5)/6</x:f>
        <x:v>0.6666666666666666</x:v>
      </x:c>
      <x:c r="E18" s="16" t="str">
        <x:v>Média</x:v>
      </x:c>
      <x:c r="F18" s="16" t="str">
        <x:v>Sidebar, AppLayout e controles receberam ajustes; auditoria formal de acessibilidade não executada.</x:v>
      </x:c>
      <x:c r="G18" s="16" t="str">
        <x:v>Rodar Axe/Lighthouse e roteiro manual de teclado em Lista, Kanban e detalhe.</x:v>
      </x:c>
    </x:row>
    <x:row r="19" ht="44" customHeight="1">
      <x:c r="A19" s="17" t="n">
        <x:v>15</x:v>
      </x:c>
      <x:c r="B19" s="17" t="str">
        <x:v>Homologação e fechamento</x:v>
      </x:c>
      <x:c r="C19" s="17" t="str">
        <x:f>'Dia 15'!B5</x:f>
        <x:v>Pendente</x:v>
      </x:c>
      <x:c r="D19" s="20" t="n">
        <x:f>(COUNTIF('Dia 15'!G9:G14,"Concluído")+COUNTIF('Dia 15'!G9:G14,"Parcial")*0.5)/6</x:f>
        <x:v>0.08333333333333333</x:v>
      </x:c>
      <x:c r="E19" s="17" t="str">
        <x:v>Crítica</x:v>
      </x:c>
      <x:c r="F19" s="17" t="str">
        <x:v>Lint e build passam; validações técnicas pontuais foram feitas, mas não há homologação completa registrada.</x:v>
      </x:c>
      <x:c r="G19" s="17" t="str">
        <x:v>Executar homologação formal, documentar evidências e criar plano de correção residual.</x:v>
      </x:c>
    </x:row>
    <x:row r="21">
      <x:c r="A21" s="21" t="str">
        <x:v>Resumo da execução</x:v>
      </x:c>
      <x:c r="B21" s="21" t="str">
        <x:v>Quantidade</x:v>
      </x:c>
    </x:row>
    <x:row r="22" ht="24" customHeight="1">
      <x:c r="A22" s="9" t="str">
        <x:v>Dias concluídos</x:v>
      </x:c>
      <x:c r="B22" s="9" t="n">
        <x:f>COUNTIF(C5:C19,"Concluído")</x:f>
        <x:v>6</x:v>
      </x:c>
    </x:row>
    <x:row r="23" ht="24" customHeight="1">
      <x:c r="A23" s="10" t="str">
        <x:v>Dias parciais</x:v>
      </x:c>
      <x:c r="B23" s="10" t="n">
        <x:f>COUNTIF(C5:C19,"Parcial")</x:f>
        <x:v>8</x:v>
      </x:c>
    </x:row>
    <x:row r="24" ht="24" customHeight="1">
      <x:c r="A24" s="11" t="str">
        <x:v>Dias pendentes</x:v>
      </x:c>
      <x:c r="B24" s="11" t="n">
        <x:f>COUNTIF(C5:C19,"Pendente")</x:f>
        <x:v>1</x:v>
      </x:c>
    </x:row>
  </x:sheetData>
  <x:mergeCells>
    <x:mergeCell ref="A1:G1"/>
    <x:mergeCell ref="A2:G2"/>
  </x:mergeCells>
  <x:conditionalFormatting sqref="C5:C19">
    <x:cfRule type="containsText" dxfId="0" priority="1" operator="containsText" text="Concluído"/>
    <x:cfRule type="containsText" dxfId="1" priority="2" operator="containsText" text="Parcial"/>
    <x:cfRule type="containsText" dxfId="2" priority="3" operator="containsText" text="Penden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1 — Diagnóstico e inventário real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Consolidar os problemas observados e o estado atual da experiência de tarefas.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38" t="str">
        <x:v>Concluído</x:v>
      </x:c>
      <x:c r="C5" s="28" t="str">
        <x:v>Alta</x:v>
      </x:c>
      <x:c r="D5" s="28" t="str">
        <x:v>Diagnóstico aplicado diretamente em KanbanPage, TarefasPage e componentes de detalhe.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Revisar os fluxos reais de Lista, Kanban e detalhe.</x:v>
      </x:c>
      <x:c r="B9" s="29"/>
      <x:c r="C9" s="29"/>
      <x:c r="D9" s="29"/>
      <x:c r="E9" s="29"/>
      <x:c r="F9" s="29"/>
      <x:c r="G9" s="29" t="str">
        <x:v>Concluído</x:v>
      </x:c>
    </x:row>
    <x:row r="10" ht="30" customHeight="1">
      <x:c r="A10" s="30" t="str">
        <x:v>2. Mapear excesso de informação no Backlog e inconsistências entre colunas.</x:v>
      </x:c>
      <x:c r="B10" s="30"/>
      <x:c r="C10" s="30"/>
      <x:c r="D10" s="30"/>
      <x:c r="E10" s="30"/>
      <x:c r="F10" s="30"/>
      <x:c r="G10" s="30" t="str">
        <x:v>Concluído</x:v>
      </x:c>
    </x:row>
    <x:row r="11" ht="30" customHeight="1">
      <x:c r="A11" s="30" t="str">
        <x:v>3. Separar problemas de UX, performance e autorização.</x:v>
      </x:c>
      <x:c r="B11" s="30"/>
      <x:c r="C11" s="30"/>
      <x:c r="D11" s="30"/>
      <x:c r="E11" s="30"/>
      <x:c r="F11" s="30"/>
      <x:c r="G11" s="30" t="str">
        <x:v>Concluído</x:v>
      </x:c>
    </x:row>
    <x:row r="12" ht="30" customHeight="1">
      <x:c r="A12" s="30" t="str">
        <x:v>4. Priorizar cards, filtros, navegação e painel lateral.</x:v>
      </x:c>
      <x:c r="B12" s="30"/>
      <x:c r="C12" s="30"/>
      <x:c r="D12" s="30"/>
      <x:c r="E12" s="30"/>
      <x:c r="F12" s="30"/>
      <x:c r="G12" s="30" t="str">
        <x:v>Concluído</x:v>
      </x:c>
    </x:row>
    <x:row r="13" ht="30" customHeight="1">
      <x:c r="A13" s="30" t="str">
        <x:v>5. Registrar riscos de tarefas sem responsável e setor Geral.</x:v>
      </x:c>
      <x:c r="B13" s="30"/>
      <x:c r="C13" s="30"/>
      <x:c r="D13" s="30"/>
      <x:c r="E13" s="30"/>
      <x:c r="F13" s="30"/>
      <x:c r="G13" s="30" t="str">
        <x:v>Concluído</x:v>
      </x:c>
    </x:row>
    <x:row r="14" ht="30" customHeight="1">
      <x:c r="A14" s="31" t="str">
        <x:v>6. Consolidar decisões tomadas durante a implementação.</x:v>
      </x:c>
      <x:c r="B14" s="31"/>
      <x:c r="C14" s="31"/>
      <x:c r="D14" s="31"/>
      <x:c r="E14" s="31"/>
      <x:c r="F14" s="31"/>
      <x:c r="G14" s="31" t="str">
        <x:v>Concluído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Diagnóstico aplicado diretamente em KanbanPage, TarefasPage e componentes de detalhe.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Formalizar validação com usuários da operação e registrar métricas de tempo/cliques.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Entrega implementada; falta apenas preservar regressão por testes e validação operacional.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3" priority="1" operator="containsText" text="Concluído"/>
    <x:cfRule type="containsText" dxfId="4" priority="2" operator="containsText" text="Parcial"/>
    <x:cfRule type="containsText" dxfId="5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2 — Fluxo unificado de tarefas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Definir uma experiência consistente para localizar, abrir, editar, mover e concluir.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38" t="str">
        <x:v>Concluído</x:v>
      </x:c>
      <x:c r="C5" s="28" t="str">
        <x:v>Alta</x:v>
      </x:c>
      <x:c r="D5" s="28" t="str">
        <x:v>TaskDetailSheet, KanbanTaskDetailSheet e especificações de revisão de permissões.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Unificar acesso ao detalhe por painel lateral.</x:v>
      </x:c>
      <x:c r="B9" s="29"/>
      <x:c r="C9" s="29"/>
      <x:c r="D9" s="29"/>
      <x:c r="E9" s="29"/>
      <x:c r="F9" s="29"/>
      <x:c r="G9" s="29" t="str">
        <x:v>Concluído</x:v>
      </x:c>
    </x:row>
    <x:row r="10" ht="30" customHeight="1">
      <x:c r="A10" s="30" t="str">
        <x:v>2. Preservar Lista e Kanban como visões da mesma tarefa.</x:v>
      </x:c>
      <x:c r="B10" s="30"/>
      <x:c r="C10" s="30"/>
      <x:c r="D10" s="30"/>
      <x:c r="E10" s="30"/>
      <x:c r="F10" s="30"/>
      <x:c r="G10" s="30" t="str">
        <x:v>Concluído</x:v>
      </x:c>
    </x:row>
    <x:row r="11" ht="30" customHeight="1">
      <x:c r="A11" s="30" t="str">
        <x:v>3. Definir informações essenciais visíveis no card.</x:v>
      </x:c>
      <x:c r="B11" s="30"/>
      <x:c r="C11" s="30"/>
      <x:c r="D11" s="30"/>
      <x:c r="E11" s="30"/>
      <x:c r="F11" s="30"/>
      <x:c r="G11" s="30" t="str">
        <x:v>Concluído</x:v>
      </x:c>
    </x:row>
    <x:row r="12" ht="30" customHeight="1">
      <x:c r="A12" s="30" t="str">
        <x:v>4. Manter ações complexas no painel lateral.</x:v>
      </x:c>
      <x:c r="B12" s="30"/>
      <x:c r="C12" s="30"/>
      <x:c r="D12" s="30"/>
      <x:c r="E12" s="30"/>
      <x:c r="F12" s="30"/>
      <x:c r="G12" s="30" t="str">
        <x:v>Concluído</x:v>
      </x:c>
    </x:row>
    <x:row r="13" ht="30" customHeight="1">
      <x:c r="A13" s="30" t="str">
        <x:v>5. Revisar origens, estados e permissões.</x:v>
      </x:c>
      <x:c r="B13" s="30"/>
      <x:c r="C13" s="30"/>
      <x:c r="D13" s="30"/>
      <x:c r="E13" s="30"/>
      <x:c r="F13" s="30"/>
      <x:c r="G13" s="30" t="str">
        <x:v>Concluído</x:v>
      </x:c>
    </x:row>
    <x:row r="14" ht="30" customHeight="1">
      <x:c r="A14" s="31" t="str">
        <x:v>6. Documentar decisões no Spec Kit de permissões.</x:v>
      </x:c>
      <x:c r="B14" s="31"/>
      <x:c r="C14" s="31"/>
      <x:c r="D14" s="31"/>
      <x:c r="E14" s="31"/>
      <x:c r="F14" s="31"/>
      <x:c r="G14" s="31" t="str">
        <x:v>Concluído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TaskDetailSheet, KanbanTaskDetailSheet e especificações de revisão de permissões.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Validar o fluxo final com produto e representantes dos setores.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Entrega implementada; falta apenas preservar regressão por testes e validação operacional.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6" priority="1" operator="containsText" text="Concluído"/>
    <x:cfRule type="containsText" dxfId="7" priority="2" operator="containsText" text="Parcial"/>
    <x:cfRule type="containsText" dxfId="8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3 — Hierarquia visual e consistência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Reduzir poluição visual e alinhar tarefas ao padrão atual dos módulos.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38" t="str">
        <x:v>Concluído</x:v>
      </x:c>
      <x:c r="C5" s="28" t="str">
        <x:v>Alta</x:v>
      </x:c>
      <x:c r="D5" s="28" t="str">
        <x:v>AppLayout, index.css, KanbanPage e remoção central do ModuleContextPill.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Reorganizar cabeçalho e alternância Lista/Kanban.</x:v>
      </x:c>
      <x:c r="B9" s="29"/>
      <x:c r="C9" s="29"/>
      <x:c r="D9" s="29"/>
      <x:c r="E9" s="29"/>
      <x:c r="F9" s="29"/>
      <x:c r="G9" s="29" t="str">
        <x:v>Concluído</x:v>
      </x:c>
    </x:row>
    <x:row r="10" ht="30" customHeight="1">
      <x:c r="A10" s="30" t="str">
        <x:v>2. Simplificar filtros e controles secundários.</x:v>
      </x:c>
      <x:c r="B10" s="30"/>
      <x:c r="C10" s="30"/>
      <x:c r="D10" s="30"/>
      <x:c r="E10" s="30"/>
      <x:c r="F10" s="30"/>
      <x:c r="G10" s="30" t="str">
        <x:v>Concluído</x:v>
      </x:c>
    </x:row>
    <x:row r="11" ht="30" customHeight="1">
      <x:c r="A11" s="30" t="str">
        <x:v>3. Padronizar cards, espaçamentos e bordas.</x:v>
      </x:c>
      <x:c r="B11" s="30"/>
      <x:c r="C11" s="30"/>
      <x:c r="D11" s="30"/>
      <x:c r="E11" s="30"/>
      <x:c r="F11" s="30"/>
      <x:c r="G11" s="30" t="str">
        <x:v>Concluído</x:v>
      </x:c>
    </x:row>
    <x:row r="12" ht="30" customHeight="1">
      <x:c r="A12" s="30" t="str">
        <x:v>4. Criar visual agrupado e empilhado para obrigações.</x:v>
      </x:c>
      <x:c r="B12" s="30"/>
      <x:c r="C12" s="30"/>
      <x:c r="D12" s="30"/>
      <x:c r="E12" s="30"/>
      <x:c r="F12" s="30"/>
      <x:c r="G12" s="30" t="str">
        <x:v>Concluído</x:v>
      </x:c>
    </x:row>
    <x:row r="13" ht="30" customHeight="1">
      <x:c r="A13" s="30" t="str">
        <x:v>5. Padronizar o AppLayout administrativo.</x:v>
      </x:c>
      <x:c r="B13" s="30"/>
      <x:c r="C13" s="30"/>
      <x:c r="D13" s="30"/>
      <x:c r="E13" s="30"/>
      <x:c r="F13" s="30"/>
      <x:c r="G13" s="30" t="str">
        <x:v>Concluído</x:v>
      </x:c>
    </x:row>
    <x:row r="14" ht="30" customHeight="1">
      <x:c r="A14" s="31" t="str">
        <x:v>6. Remover componentes decorativos redundantes.</x:v>
      </x:c>
      <x:c r="B14" s="31"/>
      <x:c r="C14" s="31"/>
      <x:c r="D14" s="31"/>
      <x:c r="E14" s="31"/>
      <x:c r="F14" s="31"/>
      <x:c r="G14" s="31" t="str">
        <x:v>Concluído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AppLayout, index.css, KanbanPage e remoção central do ModuleContextPill.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Executar revisão visual em resoluções menores e tema escuro.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Entrega implementada; falta apenas preservar regressão por testes e validação operacional.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9" priority="1" operator="containsText" text="Concluído"/>
    <x:cfRule type="containsText" dxfId="10" priority="2" operator="containsText" text="Parcial"/>
    <x:cfRule type="containsText" dxfId="11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4 — Busca consistente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Localizar tarefas por título, cliente e responsável nas duas visões.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41" t="str">
        <x:v>Parcial</x:v>
      </x:c>
      <x:c r="C5" s="28" t="str">
        <x:v>Alta</x:v>
      </x:c>
      <x:c r="D5" s="28" t="str">
        <x:v>Busca integrada em KanbanPage e TarefasPage; filtragem ainda é majoritariamente derivada no cliente.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Buscar por título da tarefa.</x:v>
      </x:c>
      <x:c r="B9" s="29"/>
      <x:c r="C9" s="29"/>
      <x:c r="D9" s="29"/>
      <x:c r="E9" s="29"/>
      <x:c r="F9" s="29"/>
      <x:c r="G9" s="29" t="str">
        <x:v>Concluído</x:v>
      </x:c>
    </x:row>
    <x:row r="10" ht="30" customHeight="1">
      <x:c r="A10" s="30" t="str">
        <x:v>2. Buscar por cliente e responsável.</x:v>
      </x:c>
      <x:c r="B10" s="30"/>
      <x:c r="C10" s="30"/>
      <x:c r="D10" s="30"/>
      <x:c r="E10" s="30"/>
      <x:c r="F10" s="30"/>
      <x:c r="G10" s="30" t="str">
        <x:v>Concluído</x:v>
      </x:c>
    </x:row>
    <x:row r="11" ht="30" customHeight="1">
      <x:c r="A11" s="30" t="str">
        <x:v>3. Normalizar termos parciais e acentos.</x:v>
      </x:c>
      <x:c r="B11" s="30"/>
      <x:c r="C11" s="30"/>
      <x:c r="D11" s="30"/>
      <x:c r="E11" s="30"/>
      <x:c r="F11" s="30"/>
      <x:c r="G11" s="30" t="str">
        <x:v>Concluído</x:v>
      </x:c>
    </x:row>
    <x:row r="12" ht="30" customHeight="1">
      <x:c r="A12" s="30" t="str">
        <x:v>4. Exibir estado vazio coerente.</x:v>
      </x:c>
      <x:c r="B12" s="30"/>
      <x:c r="C12" s="30"/>
      <x:c r="D12" s="30"/>
      <x:c r="E12" s="30"/>
      <x:c r="F12" s="30"/>
      <x:c r="G12" s="30" t="str">
        <x:v>Concluído</x:v>
      </x:c>
    </x:row>
    <x:row r="13" ht="30" customHeight="1">
      <x:c r="A13" s="30" t="str">
        <x:v>5. Aplicar atraso/deferred na digitação.</x:v>
      </x:c>
      <x:c r="B13" s="30"/>
      <x:c r="C13" s="30"/>
      <x:c r="D13" s="30"/>
      <x:c r="E13" s="30"/>
      <x:c r="F13" s="30"/>
      <x:c r="G13" s="30" t="str">
        <x:v>Parcial</x:v>
      </x:c>
    </x:row>
    <x:row r="14" ht="30" customHeight="1">
      <x:c r="A14" s="31" t="str">
        <x:v>6. Mover pesquisa de alto volume para consulta paginada no backend.</x:v>
      </x:c>
      <x:c r="B14" s="31"/>
      <x:c r="C14" s="31"/>
      <x:c r="D14" s="31"/>
      <x:c r="E14" s="31"/>
      <x:c r="F14" s="31"/>
      <x:c r="G14" s="31" t="str">
        <x:v>Pendente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Busca integrada em KanbanPage e TarefasPage; filtragem ainda é majoritariamente derivada no cliente.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Criar endpoint/RPC paginado com search e validar debounce, loading e consistência.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Encerrar as pendências acima com evidência técnica, teste reproduzível e aceite da operação.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12" priority="1" operator="containsText" text="Concluído"/>
    <x:cfRule type="containsText" dxfId="13" priority="2" operator="containsText" text="Parcial"/>
    <x:cfRule type="containsText" dxfId="14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5 — Filtros operacionais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Permitir recortes combináveis sem poluir a tela.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41" t="str">
        <x:v>Parcial</x:v>
      </x:c>
      <x:c r="C5" s="28" t="str">
        <x:v>Alta</x:v>
      </x:c>
      <x:c r="D5" s="28" t="str">
        <x:v>Filtros disponíveis no Kanban; a consulta ainda carrega conjunto amplo antes do recorte local.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Filtrar por setor.</x:v>
      </x:c>
      <x:c r="B9" s="29"/>
      <x:c r="C9" s="29"/>
      <x:c r="D9" s="29"/>
      <x:c r="E9" s="29"/>
      <x:c r="F9" s="29"/>
      <x:c r="G9" s="29" t="str">
        <x:v>Concluído</x:v>
      </x:c>
    </x:row>
    <x:row r="10" ht="30" customHeight="1">
      <x:c r="A10" s="30" t="str">
        <x:v>2. Filtrar por responsável.</x:v>
      </x:c>
      <x:c r="B10" s="30"/>
      <x:c r="C10" s="30"/>
      <x:c r="D10" s="30"/>
      <x:c r="E10" s="30"/>
      <x:c r="F10" s="30"/>
      <x:c r="G10" s="30" t="str">
        <x:v>Concluído</x:v>
      </x:c>
    </x:row>
    <x:row r="11" ht="30" customHeight="1">
      <x:c r="A11" s="30" t="str">
        <x:v>3. Filtrar por origem.</x:v>
      </x:c>
      <x:c r="B11" s="30"/>
      <x:c r="C11" s="30"/>
      <x:c r="D11" s="30"/>
      <x:c r="E11" s="30"/>
      <x:c r="F11" s="30"/>
      <x:c r="G11" s="30" t="str">
        <x:v>Concluído</x:v>
      </x:c>
    </x:row>
    <x:row r="12" ht="30" customHeight="1">
      <x:c r="A12" s="30" t="str">
        <x:v>4. Filtrar por prioridade.</x:v>
      </x:c>
      <x:c r="B12" s="30"/>
      <x:c r="C12" s="30"/>
      <x:c r="D12" s="30"/>
      <x:c r="E12" s="30"/>
      <x:c r="F12" s="30"/>
      <x:c r="G12" s="30" t="str">
        <x:v>Concluído</x:v>
      </x:c>
    </x:row>
    <x:row r="13" ht="30" customHeight="1">
      <x:c r="A13" s="30" t="str">
        <x:v>5. Exibir estado e limpeza dos filtros.</x:v>
      </x:c>
      <x:c r="B13" s="30"/>
      <x:c r="C13" s="30"/>
      <x:c r="D13" s="30"/>
      <x:c r="E13" s="30"/>
      <x:c r="F13" s="30"/>
      <x:c r="G13" s="30" t="str">
        <x:v>Concluído</x:v>
      </x:c>
    </x:row>
    <x:row r="14" ht="30" customHeight="1">
      <x:c r="A14" s="31" t="str">
        <x:v>6. Aplicar filtros e contagens no backend.</x:v>
      </x:c>
      <x:c r="B14" s="31"/>
      <x:c r="C14" s="31"/>
      <x:c r="D14" s="31"/>
      <x:c r="E14" s="31"/>
      <x:c r="F14" s="31"/>
      <x:c r="G14" s="31" t="str">
        <x:v>Pendente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Filtros disponíveis no Kanban; a consulta ainda carrega conjunto amplo antes do recorte local.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Centralizar filtros em query/RPC e garantir contadores provenientes do banco.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Encerrar as pendências acima com evidência técnica, teste reproduzível e aceite da operação.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15" priority="1" operator="containsText" text="Concluído"/>
    <x:cfRule type="containsText" dxfId="16" priority="2" operator="containsText" text="Parcial"/>
    <x:cfRule type="containsText" dxfId="17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6 — Visões rápidas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Dar acesso imediato às filas Minhas, Hoje, Atrasadas e Semana.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41" t="str">
        <x:v>Parcial</x:v>
      </x:c>
      <x:c r="C5" s="28" t="str">
        <x:v>Média</x:v>
      </x:c>
      <x:c r="D5" s="28" t="str">
        <x:v>Dashboard reformulado e filtro de responsável no Kanban.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Disponibilizar filtro Sem responsável.</x:v>
      </x:c>
      <x:c r="B9" s="29"/>
      <x:c r="C9" s="29"/>
      <x:c r="D9" s="29"/>
      <x:c r="E9" s="29"/>
      <x:c r="F9" s="29"/>
      <x:c r="G9" s="29" t="str">
        <x:v>Concluído</x:v>
      </x:c>
    </x:row>
    <x:row r="10" ht="30" customHeight="1">
      <x:c r="A10" s="30" t="str">
        <x:v>2. Exibir atrasadas no Dashboard operacional.</x:v>
      </x:c>
      <x:c r="B10" s="30"/>
      <x:c r="C10" s="30"/>
      <x:c r="D10" s="30"/>
      <x:c r="E10" s="30"/>
      <x:c r="F10" s="30"/>
      <x:c r="G10" s="30" t="str">
        <x:v>Concluído</x:v>
      </x:c>
    </x:row>
    <x:row r="11" ht="30" customHeight="1">
      <x:c r="A11" s="30" t="str">
        <x:v>3. Exibir tarefas de hoje no Dashboard.</x:v>
      </x:c>
      <x:c r="B11" s="30"/>
      <x:c r="C11" s="30"/>
      <x:c r="D11" s="30"/>
      <x:c r="E11" s="30"/>
      <x:c r="F11" s="30"/>
      <x:c r="G11" s="30" t="str">
        <x:v>Concluído</x:v>
      </x:c>
    </x:row>
    <x:row r="12" ht="30" customHeight="1">
      <x:c r="A12" s="30" t="str">
        <x:v>4. Criar visão Minhas tarefas persistente.</x:v>
      </x:c>
      <x:c r="B12" s="30"/>
      <x:c r="C12" s="30"/>
      <x:c r="D12" s="30"/>
      <x:c r="E12" s="30"/>
      <x:c r="F12" s="30"/>
      <x:c r="G12" s="30" t="str">
        <x:v>Pendente</x:v>
      </x:c>
    </x:row>
    <x:row r="13" ht="30" customHeight="1">
      <x:c r="A13" s="30" t="str">
        <x:v>5. Criar visão Esta semana.</x:v>
      </x:c>
      <x:c r="B13" s="30"/>
      <x:c r="C13" s="30"/>
      <x:c r="D13" s="30"/>
      <x:c r="E13" s="30"/>
      <x:c r="F13" s="30"/>
      <x:c r="G13" s="30" t="str">
        <x:v>Pendente</x:v>
      </x:c>
    </x:row>
    <x:row r="14" ht="30" customHeight="1">
      <x:c r="A14" s="31" t="str">
        <x:v>6. Validar contadores com filtros combinados.</x:v>
      </x:c>
      <x:c r="B14" s="31"/>
      <x:c r="C14" s="31"/>
      <x:c r="D14" s="31"/>
      <x:c r="E14" s="31"/>
      <x:c r="F14" s="31"/>
      <x:c r="G14" s="31" t="str">
        <x:v>Parcial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Dashboard reformulado e filtro de responsável no Kanban.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Adicionar presets persistentes na tela de tarefas e testes de contagem.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Encerrar as pendências acima com evidência técnica, teste reproduzível e aceite da operação.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18" priority="1" operator="containsText" text="Concluído"/>
    <x:cfRule type="containsText" dxfId="19" priority="2" operator="containsText" text="Parcial"/>
    <x:cfRule type="containsText" dxfId="20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7 — Cards e agrupamento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Manter o card compreensível e controlar o alto volume de obrigações.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38" t="str">
        <x:v>Concluído</x:v>
      </x:c>
      <x:c r="C5" s="28" t="str">
        <x:v>Alta</x:v>
      </x:c>
      <x:c r="D5" s="28" t="str">
        <x:v>KanbanTaskCard e grupos empilhados implementados no KanbanPage.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Exibir título, cliente, prazo e responsável.</x:v>
      </x:c>
      <x:c r="B9" s="29"/>
      <x:c r="C9" s="29"/>
      <x:c r="D9" s="29"/>
      <x:c r="E9" s="29"/>
      <x:c r="F9" s="29"/>
      <x:c r="G9" s="29" t="str">
        <x:v>Concluído</x:v>
      </x:c>
    </x:row>
    <x:row r="10" ht="30" customHeight="1">
      <x:c r="A10" s="30" t="str">
        <x:v>2. Identificar origem da tarefa.</x:v>
      </x:c>
      <x:c r="B10" s="30"/>
      <x:c r="C10" s="30"/>
      <x:c r="D10" s="30"/>
      <x:c r="E10" s="30"/>
      <x:c r="F10" s="30"/>
      <x:c r="G10" s="30" t="str">
        <x:v>Concluído</x:v>
      </x:c>
    </x:row>
    <x:row r="11" ht="30" customHeight="1">
      <x:c r="A11" s="30" t="str">
        <x:v>3. Destacar prioridade e atraso.</x:v>
      </x:c>
      <x:c r="B11" s="30"/>
      <x:c r="C11" s="30"/>
      <x:c r="D11" s="30"/>
      <x:c r="E11" s="30"/>
      <x:c r="F11" s="30"/>
      <x:c r="G11" s="30" t="str">
        <x:v>Concluído</x:v>
      </x:c>
    </x:row>
    <x:row r="12" ht="30" customHeight="1">
      <x:c r="A12" s="30" t="str">
        <x:v>4. Reduzir adornos e metadados repetidos.</x:v>
      </x:c>
      <x:c r="B12" s="30"/>
      <x:c r="C12" s="30"/>
      <x:c r="D12" s="30"/>
      <x:c r="E12" s="30"/>
      <x:c r="F12" s="30"/>
      <x:c r="G12" s="30" t="str">
        <x:v>Concluído</x:v>
      </x:c>
    </x:row>
    <x:row r="13" ht="30" customHeight="1">
      <x:c r="A13" s="30" t="str">
        <x:v>5. Agrupar obrigações em pilhas expansíveis.</x:v>
      </x:c>
      <x:c r="B13" s="30"/>
      <x:c r="C13" s="30"/>
      <x:c r="D13" s="30"/>
      <x:c r="E13" s="30"/>
      <x:c r="F13" s="30"/>
      <x:c r="G13" s="30" t="str">
        <x:v>Concluído</x:v>
      </x:c>
    </x:row>
    <x:row r="14" ht="30" customHeight="1">
      <x:c r="A14" s="31" t="str">
        <x:v>6. Aplicar o mesmo padrão de card em todas as colunas.</x:v>
      </x:c>
      <x:c r="B14" s="31"/>
      <x:c r="C14" s="31"/>
      <x:c r="D14" s="31"/>
      <x:c r="E14" s="31"/>
      <x:c r="F14" s="31"/>
      <x:c r="G14" s="31" t="str">
        <x:v>Concluído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KanbanTaskCard e grupos empilhados implementados no KanbanPage.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Testar com títulos extremos, alto contraste e zoom de navegador.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Entrega implementada; falta apenas preservar regressão por testes e validação operacional.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21" priority="1" operator="containsText" text="Concluído"/>
    <x:cfRule type="containsText" dxfId="22" priority="2" operator="containsText" text="Parcial"/>
    <x:cfRule type="containsText" dxfId="23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8 — Colunas e alto volume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Manter o Kanban navegável com grande quantidade de tarefas.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41" t="str">
        <x:v>Parcial</x:v>
      </x:c>
      <x:c r="C5" s="28" t="str">
        <x:v>Alta</x:v>
      </x:c>
      <x:c r="D5" s="28" t="str">
        <x:v>Layout das colunas e agrupamento concluídos; não há virtualização/paginação completa por coluna.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Padronizar largura e espaçamento das colunas.</x:v>
      </x:c>
      <x:c r="B9" s="29"/>
      <x:c r="C9" s="29"/>
      <x:c r="D9" s="29"/>
      <x:c r="E9" s="29"/>
      <x:c r="F9" s="29"/>
      <x:c r="G9" s="29" t="str">
        <x:v>Concluído</x:v>
      </x:c>
    </x:row>
    <x:row r="10" ht="30" customHeight="1">
      <x:c r="A10" s="30" t="str">
        <x:v>2. Exibir contadores por status.</x:v>
      </x:c>
      <x:c r="B10" s="30"/>
      <x:c r="C10" s="30"/>
      <x:c r="D10" s="30"/>
      <x:c r="E10" s="30"/>
      <x:c r="F10" s="30"/>
      <x:c r="G10" s="30" t="str">
        <x:v>Concluído</x:v>
      </x:c>
    </x:row>
    <x:row r="11" ht="30" customHeight="1">
      <x:c r="A11" s="30" t="str">
        <x:v>3. Criar estados vazios úteis.</x:v>
      </x:c>
      <x:c r="B11" s="30"/>
      <x:c r="C11" s="30"/>
      <x:c r="D11" s="30"/>
      <x:c r="E11" s="30"/>
      <x:c r="F11" s="30"/>
      <x:c r="G11" s="30" t="str">
        <x:v>Concluído</x:v>
      </x:c>
    </x:row>
    <x:row r="12" ht="30" customHeight="1">
      <x:c r="A12" s="30" t="str">
        <x:v>4. Revisar rolagem horizontal.</x:v>
      </x:c>
      <x:c r="B12" s="30"/>
      <x:c r="C12" s="30"/>
      <x:c r="D12" s="30"/>
      <x:c r="E12" s="30"/>
      <x:c r="F12" s="30"/>
      <x:c r="G12" s="30" t="str">
        <x:v>Concluído</x:v>
      </x:c>
    </x:row>
    <x:row r="13" ht="30" customHeight="1">
      <x:c r="A13" s="30" t="str">
        <x:v>5. Manter cabeçalhos reconhecíveis.</x:v>
      </x:c>
      <x:c r="B13" s="30"/>
      <x:c r="C13" s="30"/>
      <x:c r="D13" s="30"/>
      <x:c r="E13" s="30"/>
      <x:c r="F13" s="30"/>
      <x:c r="G13" s="30" t="str">
        <x:v>Concluído</x:v>
      </x:c>
    </x:row>
    <x:row r="14" ht="30" customHeight="1">
      <x:c r="A14" s="31" t="str">
        <x:v>6. Implementar paginação/virtualização por coluna.</x:v>
      </x:c>
      <x:c r="B14" s="31"/>
      <x:c r="C14" s="31"/>
      <x:c r="D14" s="31"/>
      <x:c r="E14" s="31"/>
      <x:c r="F14" s="31"/>
      <x:c r="G14" s="31" t="str">
        <x:v>Pendente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Layout das colunas e agrupamento concluídos; não há virtualização/paginação completa por coluna.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Implementar carregamento progressivo e medir FPS/tempo com volume real.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Encerrar as pendências acima com evidência técnica, teste reproduzível e aceite da operação.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24" priority="1" operator="containsText" text="Concluído"/>
    <x:cfRule type="containsText" dxfId="25" priority="2" operator="containsText" text="Parcial"/>
    <x:cfRule type="containsText" dxfId="26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9 — Detalhe em painel lateral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Consultar e editar sem perder o contexto do quadro.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38" t="str">
        <x:v>Concluído</x:v>
      </x:c>
      <x:c r="C5" s="28" t="str">
        <x:v>Alta</x:v>
      </x:c>
      <x:c r="D5" s="28" t="str">
        <x:v>KanbanTaskDetailSheet e TaskDetailSheet usados nas duas visões.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Abrir tarefa em painel lateral.</x:v>
      </x:c>
      <x:c r="B9" s="29"/>
      <x:c r="C9" s="29"/>
      <x:c r="D9" s="29"/>
      <x:c r="E9" s="29"/>
      <x:c r="F9" s="29"/>
      <x:c r="G9" s="29" t="str">
        <x:v>Concluído</x:v>
      </x:c>
    </x:row>
    <x:row r="10" ht="30" customHeight="1">
      <x:c r="A10" s="30" t="str">
        <x:v>2. Organizar campos essenciais no primeiro nível.</x:v>
      </x:c>
      <x:c r="B10" s="30"/>
      <x:c r="C10" s="30"/>
      <x:c r="D10" s="30"/>
      <x:c r="E10" s="30"/>
      <x:c r="F10" s="30"/>
      <x:c r="G10" s="30" t="str">
        <x:v>Concluído</x:v>
      </x:c>
    </x:row>
    <x:row r="11" ht="30" customHeight="1">
      <x:c r="A11" s="30" t="str">
        <x:v>3. Separar histórico, anexos e vínculos.</x:v>
      </x:c>
      <x:c r="B11" s="30"/>
      <x:c r="C11" s="30"/>
      <x:c r="D11" s="30"/>
      <x:c r="E11" s="30"/>
      <x:c r="F11" s="30"/>
      <x:c r="G11" s="30" t="str">
        <x:v>Concluído</x:v>
      </x:c>
    </x:row>
    <x:row r="12" ht="30" customHeight="1">
      <x:c r="A12" s="30" t="str">
        <x:v>4. Exibir origem e regras da tarefa.</x:v>
      </x:c>
      <x:c r="B12" s="30"/>
      <x:c r="C12" s="30"/>
      <x:c r="D12" s="30"/>
      <x:c r="E12" s="30"/>
      <x:c r="F12" s="30"/>
      <x:c r="G12" s="30" t="str">
        <x:v>Concluído</x:v>
      </x:c>
    </x:row>
    <x:row r="13" ht="30" customHeight="1">
      <x:c r="A13" s="30" t="str">
        <x:v>5. Preservar o quadro ao fechar.</x:v>
      </x:c>
      <x:c r="B13" s="30"/>
      <x:c r="C13" s="30"/>
      <x:c r="D13" s="30"/>
      <x:c r="E13" s="30"/>
      <x:c r="F13" s="30"/>
      <x:c r="G13" s="30" t="str">
        <x:v>Concluído</x:v>
      </x:c>
    </x:row>
    <x:row r="14" ht="30" customHeight="1">
      <x:c r="A14" s="31" t="str">
        <x:v>6. Tratar carregamento e falhas.</x:v>
      </x:c>
      <x:c r="B14" s="31"/>
      <x:c r="C14" s="31"/>
      <x:c r="D14" s="31"/>
      <x:c r="E14" s="31"/>
      <x:c r="F14" s="31"/>
      <x:c r="G14" s="31" t="str">
        <x:v>Concluído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KanbanTaskDetailSheet e TaskDetailSheet usados nas duas visões.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Adicionar teste E2E de abertura por calendário, lista e Kanban.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Entrega implementada; falta apenas preservar regressão por testes e validação operacional.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27" priority="1" operator="containsText" text="Concluído"/>
    <x:cfRule type="containsText" dxfId="28" priority="2" operator="containsText" text="Parcial"/>
    <x:cfRule type="containsText" dxfId="29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10 — Edição e ações rápidas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Reduzir cliques nas alterações operacionais comuns.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38" t="str">
        <x:v>Concluído</x:v>
      </x:c>
      <x:c r="C5" s="28" t="str">
        <x:v>Alta</x:v>
      </x:c>
      <x:c r="D5" s="28" t="str">
        <x:v>Seletores de responsável e edição presentes nos componentes de detalhe e Kanban.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Alterar responsável.</x:v>
      </x:c>
      <x:c r="B9" s="29"/>
      <x:c r="C9" s="29"/>
      <x:c r="D9" s="29"/>
      <x:c r="E9" s="29"/>
      <x:c r="F9" s="29"/>
      <x:c r="G9" s="29" t="str">
        <x:v>Concluído</x:v>
      </x:c>
    </x:row>
    <x:row r="10" ht="30" customHeight="1">
      <x:c r="A10" s="30" t="str">
        <x:v>2. Restringir responsáveis pelos setores selecionados.</x:v>
      </x:c>
      <x:c r="B10" s="30"/>
      <x:c r="C10" s="30"/>
      <x:c r="D10" s="30"/>
      <x:c r="E10" s="30"/>
      <x:c r="F10" s="30"/>
      <x:c r="G10" s="30" t="str">
        <x:v>Concluído</x:v>
      </x:c>
    </x:row>
    <x:row r="11" ht="30" customHeight="1">
      <x:c r="A11" s="30" t="str">
        <x:v>3. Alterar prazo e prioridade.</x:v>
      </x:c>
      <x:c r="B11" s="30"/>
      <x:c r="C11" s="30"/>
      <x:c r="D11" s="30"/>
      <x:c r="E11" s="30"/>
      <x:c r="F11" s="30"/>
      <x:c r="G11" s="30" t="str">
        <x:v>Concluído</x:v>
      </x:c>
    </x:row>
    <x:row r="12" ht="30" customHeight="1">
      <x:c r="A12" s="30" t="str">
        <x:v>4. Mudar status pelo detalhe e Kanban.</x:v>
      </x:c>
      <x:c r="B12" s="30"/>
      <x:c r="C12" s="30"/>
      <x:c r="D12" s="30"/>
      <x:c r="E12" s="30"/>
      <x:c r="F12" s="30"/>
      <x:c r="G12" s="30" t="str">
        <x:v>Concluído</x:v>
      </x:c>
    </x:row>
    <x:row r="13" ht="30" customHeight="1">
      <x:c r="A13" s="30" t="str">
        <x:v>5. Editar conteúdo com regras de permissão.</x:v>
      </x:c>
      <x:c r="B13" s="30"/>
      <x:c r="C13" s="30"/>
      <x:c r="D13" s="30"/>
      <x:c r="E13" s="30"/>
      <x:c r="F13" s="30"/>
      <x:c r="G13" s="30" t="str">
        <x:v>Concluído</x:v>
      </x:c>
    </x:row>
    <x:row r="14" ht="30" customHeight="1">
      <x:c r="A14" s="31" t="str">
        <x:v>6. Refletir atualização na interface.</x:v>
      </x:c>
      <x:c r="B14" s="31"/>
      <x:c r="C14" s="31"/>
      <x:c r="D14" s="31"/>
      <x:c r="E14" s="31"/>
      <x:c r="F14" s="31"/>
      <x:c r="G14" s="31" t="str">
        <x:v>Concluído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Seletores de responsável e edição presentes nos componentes de detalhe e Kanban.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Validar concorrência após implantação completa da migração canônica.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Entrega implementada; falta apenas preservar regressão por testes e validação operacional.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30" priority="1" operator="containsText" text="Concluído"/>
    <x:cfRule type="containsText" dxfId="31" priority="2" operator="containsText" text="Parcial"/>
    <x:cfRule type="containsText" dxfId="32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11 — Movimentação e concorrência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Tornar mudança de status previsível e segura.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41" t="str">
        <x:v>Parcial</x:v>
      </x:c>
      <x:c r="C5" s="28" t="str">
        <x:v>Crítica</x:v>
      </x:c>
      <x:c r="D5" s="28" t="str">
        <x:v>Migração harden_task_permissions criada; banco conectado ainda diverge em version/deleted_at.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Arrastar tarefas entre colunas.</x:v>
      </x:c>
      <x:c r="B9" s="29"/>
      <x:c r="C9" s="29"/>
      <x:c r="D9" s="29"/>
      <x:c r="E9" s="29"/>
      <x:c r="F9" s="29"/>
      <x:c r="G9" s="29" t="str">
        <x:v>Concluído</x:v>
      </x:c>
    </x:row>
    <x:row r="10" ht="30" customHeight="1">
      <x:c r="A10" s="30" t="str">
        <x:v>2. Exibir feedback visual de destino.</x:v>
      </x:c>
      <x:c r="B10" s="30"/>
      <x:c r="C10" s="30"/>
      <x:c r="D10" s="30"/>
      <x:c r="E10" s="30"/>
      <x:c r="F10" s="30"/>
      <x:c r="G10" s="30" t="str">
        <x:v>Concluído</x:v>
      </x:c>
    </x:row>
    <x:row r="11" ht="30" customHeight="1">
      <x:c r="A11" s="30" t="str">
        <x:v>3. Persistir mudança de status.</x:v>
      </x:c>
      <x:c r="B11" s="30"/>
      <x:c r="C11" s="30"/>
      <x:c r="D11" s="30"/>
      <x:c r="E11" s="30"/>
      <x:c r="F11" s="30"/>
      <x:c r="G11" s="30" t="str">
        <x:v>Concluído</x:v>
      </x:c>
    </x:row>
    <x:row r="12" ht="30" customHeight="1">
      <x:c r="A12" s="30" t="str">
        <x:v>4. Definir autorização canônica por ação.</x:v>
      </x:c>
      <x:c r="B12" s="30"/>
      <x:c r="C12" s="30"/>
      <x:c r="D12" s="30"/>
      <x:c r="E12" s="30"/>
      <x:c r="F12" s="30"/>
      <x:c r="G12" s="30" t="str">
        <x:v>Concluído</x:v>
      </x:c>
    </x:row>
    <x:row r="13" ht="30" customHeight="1">
      <x:c r="A13" s="30" t="str">
        <x:v>5. Implantar versionamento/soft delete no banco conectado.</x:v>
      </x:c>
      <x:c r="B13" s="30"/>
      <x:c r="C13" s="30"/>
      <x:c r="D13" s="30"/>
      <x:c r="E13" s="30"/>
      <x:c r="F13" s="30"/>
      <x:c r="G13" s="30" t="str">
        <x:v>Pendente</x:v>
      </x:c>
    </x:row>
    <x:row r="14" ht="30" customHeight="1">
      <x:c r="A14" s="31" t="str">
        <x:v>6. Testar rollback visual e conflito concorrente.</x:v>
      </x:c>
      <x:c r="B14" s="31"/>
      <x:c r="C14" s="31"/>
      <x:c r="D14" s="31"/>
      <x:c r="E14" s="31"/>
      <x:c r="F14" s="31"/>
      <x:c r="G14" s="31" t="str">
        <x:v>Pendente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Migração harden_task_permissions criada; banco conectado ainda diverge em version/deleted_at.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Implantar migração em ambiente controlado e executar testes de conflito/rollback.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Encerrar as pendências acima com evidência técnica, teste reproduzível e aceite da operação.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33" priority="1" operator="containsText" text="Concluído"/>
    <x:cfRule type="containsText" dxfId="34" priority="2" operator="containsText" text="Parcial"/>
    <x:cfRule type="containsText" dxfId="35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12 — Lista operacional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Oferecer alternativa compacta ao Kanban com os mesmos dados.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41" t="str">
        <x:v>Parcial</x:v>
      </x:c>
      <x:c r="C5" s="28" t="str">
        <x:v>Alta</x:v>
      </x:c>
      <x:c r="D5" s="28" t="str">
        <x:v>TarefasPage e TaskDetailSheet funcionais; ordenação/paginação server-side ainda pendentes.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Exibir lista compacta de tarefas.</x:v>
      </x:c>
      <x:c r="B9" s="29"/>
      <x:c r="C9" s="29"/>
      <x:c r="D9" s="29"/>
      <x:c r="E9" s="29"/>
      <x:c r="F9" s="29"/>
      <x:c r="G9" s="29" t="str">
        <x:v>Concluído</x:v>
      </x:c>
    </x:row>
    <x:row r="10" ht="30" customHeight="1">
      <x:c r="A10" s="30" t="str">
        <x:v>2. Reutilizar busca e filtro de setor.</x:v>
      </x:c>
      <x:c r="B10" s="30"/>
      <x:c r="C10" s="30"/>
      <x:c r="D10" s="30"/>
      <x:c r="E10" s="30"/>
      <x:c r="F10" s="30"/>
      <x:c r="G10" s="30" t="str">
        <x:v>Concluído</x:v>
      </x:c>
    </x:row>
    <x:row r="11" ht="30" customHeight="1">
      <x:c r="A11" s="30" t="str">
        <x:v>3. Abrir o mesmo painel lateral.</x:v>
      </x:c>
      <x:c r="B11" s="30"/>
      <x:c r="C11" s="30"/>
      <x:c r="D11" s="30"/>
      <x:c r="E11" s="30"/>
      <x:c r="F11" s="30"/>
      <x:c r="G11" s="30" t="str">
        <x:v>Concluído</x:v>
      </x:c>
    </x:row>
    <x:row r="12" ht="30" customHeight="1">
      <x:c r="A12" s="30" t="str">
        <x:v>4. Preservar origem e responsável.</x:v>
      </x:c>
      <x:c r="B12" s="30"/>
      <x:c r="C12" s="30"/>
      <x:c r="D12" s="30"/>
      <x:c r="E12" s="30"/>
      <x:c r="F12" s="30"/>
      <x:c r="G12" s="30" t="str">
        <x:v>Concluído</x:v>
      </x:c>
    </x:row>
    <x:row r="13" ht="30" customHeight="1">
      <x:c r="A13" s="30" t="str">
        <x:v>5. Ordenar no backend por prazo, prioridade e criação.</x:v>
      </x:c>
      <x:c r="B13" s="30"/>
      <x:c r="C13" s="30"/>
      <x:c r="D13" s="30"/>
      <x:c r="E13" s="30"/>
      <x:c r="F13" s="30"/>
      <x:c r="G13" s="30" t="str">
        <x:v>Pendente</x:v>
      </x:c>
    </x:row>
    <x:row r="14" ht="30" customHeight="1">
      <x:c r="A14" s="31" t="str">
        <x:v>6. Paginar sem carregar toda a coleção.</x:v>
      </x:c>
      <x:c r="B14" s="31"/>
      <x:c r="C14" s="31"/>
      <x:c r="D14" s="31"/>
      <x:c r="E14" s="31"/>
      <x:c r="F14" s="31"/>
      <x:c r="G14" s="31" t="str">
        <x:v>Pendente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TarefasPage e TaskDetailSheet funcionais; ordenação/paginação server-side ainda pendentes.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Criar consulta paginada compartilhada com o Kanban.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Encerrar as pendências acima com evidência técnica, teste reproduzível e aceite da operação.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36" priority="1" operator="containsText" text="Concluído"/>
    <x:cfRule type="containsText" dxfId="37" priority="2" operator="containsText" text="Parcial"/>
    <x:cfRule type="containsText" dxfId="38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13 — Performance e arquitetura de dados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Evitar carga ampla, filtros locais caros e consultas duplicadas.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41" t="str">
        <x:v>Parcial</x:v>
      </x:c>
      <x:c r="C5" s="28" t="str">
        <x:v>Crítica</x:v>
      </x:c>
      <x:c r="D5" s="28" t="str">
        <x:v>Dashboard simplificado e consultas paralelas em módulos revisados; páginas de tarefas ainda mantêm estado/fetch próprios.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Remover waterfalls do Dashboard.</x:v>
      </x:c>
      <x:c r="B9" s="29"/>
      <x:c r="C9" s="29"/>
      <x:c r="D9" s="29"/>
      <x:c r="E9" s="29"/>
      <x:c r="F9" s="29"/>
      <x:c r="G9" s="29" t="str">
        <x:v>Concluído</x:v>
      </x:c>
    </x:row>
    <x:row r="10" ht="30" customHeight="1">
      <x:c r="A10" s="30" t="str">
        <x:v>2. Usar Map/Set nos agrupamentos recorrentes.</x:v>
      </x:c>
      <x:c r="B10" s="30"/>
      <x:c r="C10" s="30"/>
      <x:c r="D10" s="30"/>
      <x:c r="E10" s="30"/>
      <x:c r="F10" s="30"/>
      <x:c r="G10" s="30" t="str">
        <x:v>Concluído</x:v>
      </x:c>
    </x:row>
    <x:row r="11" ht="30" customHeight="1">
      <x:c r="A11" s="30" t="str">
        <x:v>3. Limitar consultas existentes.</x:v>
      </x:c>
      <x:c r="B11" s="30"/>
      <x:c r="C11" s="30"/>
      <x:c r="D11" s="30"/>
      <x:c r="E11" s="30"/>
      <x:c r="F11" s="30"/>
      <x:c r="G11" s="30" t="str">
        <x:v>Parcial</x:v>
      </x:c>
    </x:row>
    <x:row r="12" ht="30" customHeight="1">
      <x:c r="A12" s="30" t="str">
        <x:v>4. Adotar TanStack Query para tarefas.</x:v>
      </x:c>
      <x:c r="B12" s="30"/>
      <x:c r="C12" s="30"/>
      <x:c r="D12" s="30"/>
      <x:c r="E12" s="30"/>
      <x:c r="F12" s="30"/>
      <x:c r="G12" s="30" t="str">
        <x:v>Pendente</x:v>
      </x:c>
    </x:row>
    <x:row r="13" ht="30" customHeight="1">
      <x:c r="A13" s="30" t="str">
        <x:v>5. Paginar e filtrar no backend.</x:v>
      </x:c>
      <x:c r="B13" s="30"/>
      <x:c r="C13" s="30"/>
      <x:c r="D13" s="30"/>
      <x:c r="E13" s="30"/>
      <x:c r="F13" s="30"/>
      <x:c r="G13" s="30" t="str">
        <x:v>Pendente</x:v>
      </x:c>
    </x:row>
    <x:row r="14" ht="30" customHeight="1">
      <x:c r="A14" s="31" t="str">
        <x:v>6. Medir cenário de volume e meta de 2 segundos.</x:v>
      </x:c>
      <x:c r="B14" s="31"/>
      <x:c r="C14" s="31"/>
      <x:c r="D14" s="31"/>
      <x:c r="E14" s="31"/>
      <x:c r="F14" s="31"/>
      <x:c r="G14" s="31" t="str">
        <x:v>Pendente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Dashboard simplificado e consultas paralelas em módulos revisados; páginas de tarefas ainda mantêm estado/fetch próprios.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Criar hook canônico com TanStack Query, paginação e telemetria de tempo/volume.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Encerrar as pendências acima com evidência técnica, teste reproduzível e aceite da operação.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39" priority="1" operator="containsText" text="Concluído"/>
    <x:cfRule type="containsText" dxfId="40" priority="2" operator="containsText" text="Parcial"/>
    <x:cfRule type="containsText" dxfId="41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14 — Acessibilidade e responsividade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Garantir leitura, foco e operação em notebook e teclado.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41" t="str">
        <x:v>Parcial</x:v>
      </x:c>
      <x:c r="C5" s="28" t="str">
        <x:v>Média</x:v>
      </x:c>
      <x:c r="D5" s="28" t="str">
        <x:v>Sidebar, AppLayout e controles receberam ajustes; auditoria formal de acessibilidade não executada.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Padronizar foco visível dos controles.</x:v>
      </x:c>
      <x:c r="B9" s="29"/>
      <x:c r="C9" s="29"/>
      <x:c r="D9" s="29"/>
      <x:c r="E9" s="29"/>
      <x:c r="F9" s="29"/>
      <x:c r="G9" s="29" t="str">
        <x:v>Concluído</x:v>
      </x:c>
    </x:row>
    <x:row r="10" ht="30" customHeight="1">
      <x:c r="A10" s="30" t="str">
        <x:v>2. Adicionar rótulos/tooltips no menu recolhido.</x:v>
      </x:c>
      <x:c r="B10" s="30"/>
      <x:c r="C10" s="30"/>
      <x:c r="D10" s="30"/>
      <x:c r="E10" s="30"/>
      <x:c r="F10" s="30"/>
      <x:c r="G10" s="30" t="str">
        <x:v>Concluído</x:v>
      </x:c>
    </x:row>
    <x:row r="11" ht="30" customHeight="1">
      <x:c r="A11" s="30" t="str">
        <x:v>3. Revisar contraste de cards e status.</x:v>
      </x:c>
      <x:c r="B11" s="30"/>
      <x:c r="C11" s="30"/>
      <x:c r="D11" s="30"/>
      <x:c r="E11" s="30"/>
      <x:c r="F11" s="30"/>
      <x:c r="G11" s="30" t="str">
        <x:v>Concluído</x:v>
      </x:c>
    </x:row>
    <x:row r="12" ht="30" customHeight="1">
      <x:c r="A12" s="30" t="str">
        <x:v>4. Ajustar sidebar recolhida e responsiva.</x:v>
      </x:c>
      <x:c r="B12" s="30"/>
      <x:c r="C12" s="30"/>
      <x:c r="D12" s="30"/>
      <x:c r="E12" s="30"/>
      <x:c r="F12" s="30"/>
      <x:c r="G12" s="30" t="str">
        <x:v>Concluído</x:v>
      </x:c>
    </x:row>
    <x:row r="13" ht="30" customHeight="1">
      <x:c r="A13" s="30" t="str">
        <x:v>5. Executar roteiro completo por teclado.</x:v>
      </x:c>
      <x:c r="B13" s="30"/>
      <x:c r="C13" s="30"/>
      <x:c r="D13" s="30"/>
      <x:c r="E13" s="30"/>
      <x:c r="F13" s="30"/>
      <x:c r="G13" s="30" t="str">
        <x:v>Pendente</x:v>
      </x:c>
    </x:row>
    <x:row r="14" ht="30" customHeight="1">
      <x:c r="A14" s="31" t="str">
        <x:v>6. Validar leitores de tela e zoom 200%.</x:v>
      </x:c>
      <x:c r="B14" s="31"/>
      <x:c r="C14" s="31"/>
      <x:c r="D14" s="31"/>
      <x:c r="E14" s="31"/>
      <x:c r="F14" s="31"/>
      <x:c r="G14" s="31" t="str">
        <x:v>Pendente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Sidebar, AppLayout e controles receberam ajustes; auditoria formal de acessibilidade não executada.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Rodar Axe/Lighthouse e roteiro manual de teclado em Lista, Kanban e detalhe.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Encerrar as pendências acima com evidência técnica, teste reproduzível e aceite da operação.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42" priority="1" operator="containsText" text="Concluído"/>
    <x:cfRule type="containsText" dxfId="43" priority="2" operator="containsText" text="Parcial"/>
    <x:cfRule type="containsText" dxfId="44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</x:cols>
  <x:sheetData>
    <x:row r="1" ht="34" customHeight="1">
      <x:c r="A1" s="23" t="str">
        <x:v>Dia 15 — Homologação e fechamento</x:v>
      </x:c>
      <x:c r="B1" s="23"/>
      <x:c r="C1" s="23"/>
      <x:c r="D1" s="23"/>
      <x:c r="E1" s="23"/>
      <x:c r="F1" s="23"/>
      <x:c r="G1" s="23"/>
    </x:row>
    <x:row r="2" ht="28" customHeight="1">
      <x:c r="A2" s="25" t="str">
        <x:v>Validar o fluxo ponta a ponta e encerrar pendências de maior risco.</x:v>
      </x:c>
      <x:c r="B2" s="25"/>
      <x:c r="C2" s="25"/>
      <x:c r="D2" s="25"/>
      <x:c r="E2" s="25"/>
      <x:c r="F2" s="25"/>
      <x:c r="G2" s="25"/>
    </x:row>
    <x:row r="4">
      <x:c r="A4" s="21" t="str">
        <x:v>Responsável</x:v>
      </x:c>
      <x:c r="B4" s="21" t="str">
        <x:v>Status do dia</x:v>
      </x:c>
      <x:c r="C4" s="21" t="str">
        <x:v>Prioridade</x:v>
      </x:c>
      <x:c r="D4" s="21" t="str">
        <x:v>Evidência / estado atual</x:v>
      </x:c>
      <x:c r="E4" s="21"/>
      <x:c r="F4" s="21"/>
      <x:c r="G4" s="21"/>
    </x:row>
    <x:row r="5" ht="42" customHeight="1">
      <x:c r="A5" s="28" t="str">
        <x:v>Equipe de Produto e Desenvolvimento</x:v>
      </x:c>
      <x:c r="B5" s="44" t="str">
        <x:v>Pendente</x:v>
      </x:c>
      <x:c r="C5" s="28" t="str">
        <x:v>Crítica</x:v>
      </x:c>
      <x:c r="D5" s="28" t="str">
        <x:v>Lint e build passam; validações técnicas pontuais foram feitas, mas não há homologação completa registrada.</x:v>
      </x:c>
      <x:c r="E5" s="28"/>
      <x:c r="F5" s="28"/>
      <x:c r="G5" s="28"/>
    </x:row>
    <x:row r="7">
      <x:c r="A7" s="21" t="str">
        <x:v>Atividades revisadas</x:v>
      </x:c>
      <x:c r="B7" s="21"/>
      <x:c r="C7" s="21"/>
      <x:c r="D7" s="21"/>
      <x:c r="E7" s="21"/>
      <x:c r="F7" s="21"/>
      <x:c r="G7" s="21"/>
    </x:row>
    <x:row r="8">
      <x:c r="A8" s="8" t="str">
        <x:v>Atividade</x:v>
      </x:c>
      <x:c r="B8" s="8"/>
      <x:c r="C8" s="8"/>
      <x:c r="D8" s="8"/>
      <x:c r="E8" s="8"/>
      <x:c r="F8" s="8"/>
      <x:c r="G8" s="8" t="str">
        <x:v>Situação</x:v>
      </x:c>
    </x:row>
    <x:row r="9" ht="30" customHeight="1">
      <x:c r="A9" s="29" t="str">
        <x:v>1. Executar roteiro com usuários de setores diferentes.</x:v>
      </x:c>
      <x:c r="B9" s="29"/>
      <x:c r="C9" s="29"/>
      <x:c r="D9" s="29"/>
      <x:c r="E9" s="29"/>
      <x:c r="F9" s="29"/>
      <x:c r="G9" s="29" t="str">
        <x:v>Pendente</x:v>
      </x:c>
    </x:row>
    <x:row r="10" ht="30" customHeight="1">
      <x:c r="A10" s="30" t="str">
        <x:v>2. Testar busca, filtros, Lista, Kanban e detalhe.</x:v>
      </x:c>
      <x:c r="B10" s="30"/>
      <x:c r="C10" s="30"/>
      <x:c r="D10" s="30"/>
      <x:c r="E10" s="30"/>
      <x:c r="F10" s="30"/>
      <x:c r="G10" s="30" t="str">
        <x:v>Pendente</x:v>
      </x:c>
    </x:row>
    <x:row r="11" ht="30" customHeight="1">
      <x:c r="A11" s="30" t="str">
        <x:v>3. Testar permissões Admin, Colaborador, Geral e sem responsável.</x:v>
      </x:c>
      <x:c r="B11" s="30"/>
      <x:c r="C11" s="30"/>
      <x:c r="D11" s="30"/>
      <x:c r="E11" s="30"/>
      <x:c r="F11" s="30"/>
      <x:c r="G11" s="30" t="str">
        <x:v>Parcial</x:v>
      </x:c>
    </x:row>
    <x:row r="12" ht="30" customHeight="1">
      <x:c r="A12" s="30" t="str">
        <x:v>4. Validar performance com base representativa.</x:v>
      </x:c>
      <x:c r="B12" s="30"/>
      <x:c r="C12" s="30"/>
      <x:c r="D12" s="30"/>
      <x:c r="E12" s="30"/>
      <x:c r="F12" s="30"/>
      <x:c r="G12" s="30" t="str">
        <x:v>Pendente</x:v>
      </x:c>
    </x:row>
    <x:row r="13" ht="30" customHeight="1">
      <x:c r="A13" s="30" t="str">
        <x:v>5. Corrigir bloqueios críticos encontrados.</x:v>
      </x:c>
      <x:c r="B13" s="30"/>
      <x:c r="C13" s="30"/>
      <x:c r="D13" s="30"/>
      <x:c r="E13" s="30"/>
      <x:c r="F13" s="30"/>
      <x:c r="G13" s="30" t="str">
        <x:v>Pendente</x:v>
      </x:c>
    </x:row>
    <x:row r="14" ht="30" customHeight="1">
      <x:c r="A14" s="31" t="str">
        <x:v>6. Registrar aceite e backlog residual.</x:v>
      </x:c>
      <x:c r="B14" s="31"/>
      <x:c r="C14" s="31"/>
      <x:c r="D14" s="31"/>
      <x:c r="E14" s="31"/>
      <x:c r="F14" s="31"/>
      <x:c r="G14" s="31" t="str">
        <x:v>Pendente</x:v>
      </x:c>
    </x:row>
    <x:row r="16">
      <x:c r="A16" s="21" t="str">
        <x:v>Resultado já alcançado</x:v>
      </x:c>
      <x:c r="B16" s="21"/>
      <x:c r="C16" s="21"/>
      <x:c r="D16" s="21"/>
      <x:c r="E16" s="21"/>
      <x:c r="F16" s="21"/>
      <x:c r="G16" s="21"/>
    </x:row>
    <x:row r="17">
      <x:c r="A17" s="28" t="str">
        <x:v>Lint e build passam; validações técnicas pontuais foram feitas, mas não há homologação completa registrada.</x:v>
      </x:c>
      <x:c r="B17" s="28"/>
      <x:c r="C17" s="28"/>
      <x:c r="D17" s="28"/>
      <x:c r="E17" s="28"/>
      <x:c r="F17" s="28"/>
      <x:c r="G17" s="28"/>
    </x:row>
    <x:row r="18">
      <x:c r="A18" s="28"/>
      <x:c r="B18" s="28"/>
      <x:c r="C18" s="28"/>
      <x:c r="D18" s="28"/>
      <x:c r="E18" s="28"/>
      <x:c r="F18" s="28"/>
      <x:c r="G18" s="28"/>
    </x:row>
    <x:row r="20">
      <x:c r="A20" s="21" t="str">
        <x:v>Próxima ação para concluir o dia</x:v>
      </x:c>
      <x:c r="B20" s="21"/>
      <x:c r="C20" s="21"/>
      <x:c r="D20" s="21"/>
      <x:c r="E20" s="21"/>
      <x:c r="F20" s="21"/>
      <x:c r="G20" s="21"/>
    </x:row>
    <x:row r="21">
      <x:c r="A21" s="35" t="str">
        <x:v>Executar homologação formal, documentar evidências e criar plano de correção residual.</x:v>
      </x:c>
      <x:c r="B21" s="35"/>
      <x:c r="C21" s="35"/>
      <x:c r="D21" s="35"/>
      <x:c r="E21" s="35"/>
      <x:c r="F21" s="35"/>
      <x:c r="G21" s="35"/>
    </x:row>
    <x:row r="22">
      <x:c r="A22" s="35"/>
      <x:c r="B22" s="35"/>
      <x:c r="C22" s="35"/>
      <x:c r="D22" s="35"/>
      <x:c r="E22" s="35"/>
      <x:c r="F22" s="35"/>
      <x:c r="G22" s="35"/>
    </x:row>
    <x:row r="24">
      <x:c r="A24" s="21" t="str">
        <x:v>Critério de encerramento atualizado</x:v>
      </x:c>
      <x:c r="B24" s="21"/>
      <x:c r="C24" s="21"/>
      <x:c r="D24" s="21"/>
      <x:c r="E24" s="21"/>
      <x:c r="F24" s="21"/>
      <x:c r="G24" s="21"/>
    </x:row>
    <x:row r="25">
      <x:c r="A25" s="28" t="str">
        <x:v>Encerrar as pendências acima com evidência técnica, teste reproduzível e aceite da operação.</x:v>
      </x:c>
      <x:c r="B25" s="28"/>
      <x:c r="C25" s="28"/>
      <x:c r="D25" s="28"/>
      <x:c r="E25" s="28"/>
      <x:c r="F25" s="28"/>
      <x:c r="G25" s="28"/>
    </x:row>
    <x:row r="26">
      <x:c r="A26" s="28"/>
      <x:c r="B26" s="28"/>
      <x:c r="C26" s="28"/>
      <x:c r="D26" s="28"/>
      <x:c r="E26" s="28"/>
      <x:c r="F26" s="28"/>
      <x:c r="G26" s="28"/>
    </x:row>
  </x:sheetData>
  <x:mergeCells>
    <x:mergeCell ref="A1:G1"/>
    <x:mergeCell ref="A2:G2"/>
    <x:mergeCell ref="D4:G4"/>
    <x:mergeCell ref="D5:G5"/>
    <x:mergeCell ref="A7:G7"/>
    <x:mergeCell ref="A8:F8"/>
    <x:mergeCell ref="A9:F9"/>
    <x:mergeCell ref="A10:F10"/>
    <x:mergeCell ref="A11:F11"/>
    <x:mergeCell ref="A12:F12"/>
    <x:mergeCell ref="A13:F13"/>
    <x:mergeCell ref="A14:F14"/>
    <x:mergeCell ref="A16:G16"/>
    <x:mergeCell ref="A17:G18"/>
    <x:mergeCell ref="A20:G20"/>
    <x:mergeCell ref="A21:G22"/>
    <x:mergeCell ref="A24:G24"/>
    <x:mergeCell ref="A25:G26"/>
  </x:mergeCells>
  <x:conditionalFormatting sqref="G9:G14">
    <x:cfRule type="containsText" dxfId="45" priority="1" operator="containsText" text="Concluído"/>
    <x:cfRule type="containsText" dxfId="46" priority="2" operator="containsText" text="Parcial"/>
    <x:cfRule type="containsText" dxfId="47" priority="3" operator="containsText" text="Pendente"/>
  </x:conditionalFormatting>
  <x:dataValidations count="2">
    <x:dataValidation type="list" sqref="G9:G14">
      <x:formula1>"Concluído,Parcial,Pendente"</x:formula1>
    </x:dataValidation>
    <x:dataValidation type="list" sqref="B5">
      <x:formula1>"Concluído,Parcial,Pendente"</x:formula1>
    </x:dataValidation>
  </x:dataValidations>
  <x:pageMargins left="0.7" right="0.7" top="0.75" bottom="0.75" header="0.3" footer="0.3"/>
</x:worksheet>
</file>